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tnam/Downloads/"/>
    </mc:Choice>
  </mc:AlternateContent>
  <xr:revisionPtr revIDLastSave="0" documentId="8_{0EAE4CCE-0E0A-C947-BA46-2609FD0B1910}" xr6:coauthVersionLast="46" xr6:coauthVersionMax="46" xr10:uidLastSave="{00000000-0000-0000-0000-000000000000}"/>
  <bookViews>
    <workbookView xWindow="0" yWindow="500" windowWidth="21840" windowHeight="13140" xr2:uid="{04AC87C6-1837-4769-8CE8-A84944343BAD}"/>
  </bookViews>
  <sheets>
    <sheet name="Main" sheetId="1" r:id="rId1"/>
    <sheet name="Chart" sheetId="2" r:id="rId2"/>
    <sheet name="Questions&amp;Answ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G8" i="1" l="1"/>
  <c r="G6" i="1"/>
  <c r="G4" i="1"/>
  <c r="G10" i="1" l="1"/>
</calcChain>
</file>

<file path=xl/sharedStrings.xml><?xml version="1.0" encoding="utf-8"?>
<sst xmlns="http://schemas.openxmlformats.org/spreadsheetml/2006/main" count="41" uniqueCount="41">
  <si>
    <t>Break-Even Analysis</t>
  </si>
  <si>
    <t>Fixed Cost</t>
  </si>
  <si>
    <t>Unit Variable Cost</t>
  </si>
  <si>
    <t xml:space="preserve">Unit Price </t>
  </si>
  <si>
    <t>Break-Even Quantity</t>
  </si>
  <si>
    <t>Sales Quantity</t>
  </si>
  <si>
    <t>Marginal Profit</t>
  </si>
  <si>
    <t>Total Cost</t>
  </si>
  <si>
    <t>Total Revenue</t>
  </si>
  <si>
    <t>Net Profit</t>
  </si>
  <si>
    <t>When fixed cost is 1000, unit variable cost is 4, unit price is 10, and sales quantity is 800, what are the total cost, total revenue, net profit, and break-even quantity?</t>
  </si>
  <si>
    <t>When fixed cost is 1500, unit variable cost is 6, unit price is 14, and sales quantity is 1000, what are the total cost, total revenue, net profit, and break-even quantity?</t>
  </si>
  <si>
    <t>When fixed cost is 2000, unit variable cost is 10, unit price is 8, and sales quantity is 500, what are the total cost, total revenue, net profit, and break-even quantity?</t>
  </si>
  <si>
    <t>With fixed cost of $700, unit variable cost of $6, and unit price of $9, what the sales quantity would be in order to make a net profit of $2,000?</t>
  </si>
  <si>
    <t>With fixed cost of $700, unit variable cost of $6, what the unit price would be in order to have a break-even quantity of 100?</t>
  </si>
  <si>
    <t>With unit price of $6, what the break-even quantity would be under low-cost scenario?</t>
  </si>
  <si>
    <t>With unit price of $6, what the break-even quantity would be under high-cost scenario?</t>
  </si>
  <si>
    <t xml:space="preserve">1) a </t>
  </si>
  <si>
    <t>1) b</t>
  </si>
  <si>
    <t>1) c</t>
  </si>
  <si>
    <t>2) a</t>
  </si>
  <si>
    <t>2) b</t>
  </si>
  <si>
    <t>3) a</t>
  </si>
  <si>
    <t>3) b</t>
  </si>
  <si>
    <t>Questions:</t>
  </si>
  <si>
    <t>NO SOLUTION</t>
  </si>
  <si>
    <t>Total cost: $4,200</t>
  </si>
  <si>
    <t>Total revenue: $8,000</t>
  </si>
  <si>
    <t>Net profit: $3,800</t>
  </si>
  <si>
    <t>Break-even quantity: 167</t>
  </si>
  <si>
    <t>Total cost: $7,500</t>
  </si>
  <si>
    <t>Total revenue: $14,000</t>
  </si>
  <si>
    <t>Net profit: $6,500</t>
  </si>
  <si>
    <t>Break-even quantity: 188</t>
  </si>
  <si>
    <t>Total cost: $7,000</t>
  </si>
  <si>
    <t>Total revenue: $4,000</t>
  </si>
  <si>
    <t>Net profit: $(3,000)</t>
  </si>
  <si>
    <t>Break-even quantity: No Solution</t>
  </si>
  <si>
    <t>Sales quantity: 900</t>
  </si>
  <si>
    <t>Unit price: $13</t>
  </si>
  <si>
    <t>Break-even quantity: 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</si>
</sst>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1" fontId="0" fillId="0" borderId="0" xfId="0" applyNumberFormat="1"/>
    <xf numFmtId="44" fontId="0" fillId="0" borderId="0" xfId="1" applyFont="1"/>
    <xf numFmtId="44" fontId="2" fillId="0" borderId="0" xfId="1" applyFont="1"/>
    <xf numFmtId="0" fontId="2" fillId="0" borderId="0" xfId="0" applyFont="1"/>
    <xf numFmtId="44" fontId="2" fillId="0" borderId="0" xfId="0" applyNumberFormat="1" applyFont="1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left" indent="2"/>
    </xf>
    <xf numFmtId="0" fontId="3" fillId="4" borderId="0" xfId="0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2.xml"/><Relationship Id="rId1" Type="http://schemas.microsoft.com/office/2011/relationships/chartStyle" Target="style2.xml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Profit</a:t>
            </a:r>
            <a:r>
              <a:rPr lang="en-US" b="1" baseline="0">
                <a:solidFill>
                  <a:schemeClr val="tx1"/>
                </a:solidFill>
              </a:rPr>
              <a:t> Analysis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97758092738408"/>
          <c:y val="0.17171296296296298"/>
          <c:w val="0.74411307961504813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tile tx="0" ty="0" sx="100000" sy="100000" flip="none" algn="tl"/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Main!$F$6:$F$10</c:f>
              <c:strCache>
                <c:ptCount val="5"/>
                <c:pt idx="0">
                  <c:v>Total Cost</c:v>
                </c:pt>
                <c:pt idx="2">
                  <c:v>Total Revenue</c:v>
                </c:pt>
                <c:pt idx="4">
                  <c:v>Net Profit</c:v>
                </c:pt>
              </c:strCache>
            </c:strRef>
          </c:cat>
          <c:val>
            <c:numRef>
              <c:f>Main!$G$6:$G$10</c:f>
              <c:numCache>
                <c:formatCode>General</c:formatCode>
                <c:ptCount val="5"/>
                <c:pt idx="0" formatCode="_(&quot;$&quot;* #,##0.00_);_(&quot;$&quot;* \(#,##0.00\);_(&quot;$&quot;* &quot;-&quot;??_);_(@_)">
                  <c:v>2000</c:v>
                </c:pt>
                <c:pt idx="2" formatCode="_(&quot;$&quot;* #,##0.00_);_(&quot;$&quot;* \(#,##0.00\);_(&quot;$&quot;* &quot;-&quot;??_);_(@_)">
                  <c:v>4500</c:v>
                </c:pt>
                <c:pt idx="4" formatCode="_(&quot;$&quot;* #,##0.00_);_(&quot;$&quot;* \(#,##0.00\);_(&quot;$&quot;* &quot;-&quot;??_);_(@_)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8-43ED-8F9D-CEC05126AC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2368"/>
        <c:axId val="284934832"/>
      </c:barChart>
      <c:catAx>
        <c:axId val="40661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934832"/>
        <c:crosses val="autoZero"/>
        <c:auto val="1"/>
        <c:lblAlgn val="ctr"/>
        <c:lblOffset val="100"/>
        <c:noMultiLvlLbl val="0"/>
      </c:catAx>
      <c:valAx>
        <c:axId val="284934832"/>
        <c:scaling>
          <c:orientation val="minMax"/>
          <c:max val="20000"/>
          <c:min val="-4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U.S</a:t>
                </a:r>
                <a:r>
                  <a:rPr lang="en-US" b="1" baseline="0">
                    <a:solidFill>
                      <a:schemeClr val="tx1"/>
                    </a:solidFill>
                  </a:rPr>
                  <a:t> Dollars</a:t>
                </a:r>
                <a:endParaRPr 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612368"/>
        <c:crosses val="autoZero"/>
        <c:crossBetween val="between"/>
        <c:majorUnit val="5000"/>
      </c:valAx>
      <c:spPr>
        <a:blipFill>
          <a:blip xmlns:r="http://schemas.openxmlformats.org/officeDocument/2006/relationships" r:embed="rId4"/>
          <a:tile tx="0" ty="0" sx="100000" sy="100000" flip="none" algn="tl"/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5"/>
      <a:tile tx="0" ty="0" sx="100000" sy="100000" flip="none" algn="tl"/>
    </a:blip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Profit</a:t>
            </a:r>
            <a:r>
              <a:rPr lang="en-US" baseline="0">
                <a:solidFill>
                  <a:schemeClr val="tx1"/>
                </a:solidFill>
              </a:rPr>
              <a:t> Analysis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97758092738408"/>
          <c:y val="0.17171296296296298"/>
          <c:w val="0.74411307961504813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tile tx="0" ty="0" sx="100000" sy="100000" flip="none" algn="tl"/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Main!$F$6:$F$10</c:f>
              <c:strCache>
                <c:ptCount val="5"/>
                <c:pt idx="0">
                  <c:v>Total Cost</c:v>
                </c:pt>
                <c:pt idx="2">
                  <c:v>Total Revenue</c:v>
                </c:pt>
                <c:pt idx="4">
                  <c:v>Net Profit</c:v>
                </c:pt>
              </c:strCache>
            </c:strRef>
          </c:cat>
          <c:val>
            <c:numRef>
              <c:f>Main!$G$6:$G$10</c:f>
              <c:numCache>
                <c:formatCode>General</c:formatCode>
                <c:ptCount val="5"/>
                <c:pt idx="0" formatCode="_(&quot;$&quot;* #,##0.00_);_(&quot;$&quot;* \(#,##0.00\);_(&quot;$&quot;* &quot;-&quot;??_);_(@_)">
                  <c:v>2000</c:v>
                </c:pt>
                <c:pt idx="2" formatCode="_(&quot;$&quot;* #,##0.00_);_(&quot;$&quot;* \(#,##0.00\);_(&quot;$&quot;* &quot;-&quot;??_);_(@_)">
                  <c:v>4500</c:v>
                </c:pt>
                <c:pt idx="4" formatCode="_(&quot;$&quot;* #,##0.00_);_(&quot;$&quot;* \(#,##0.00\);_(&quot;$&quot;* &quot;-&quot;??_);_(@_)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B2-473F-A372-0292A60D30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2368"/>
        <c:axId val="284934832"/>
      </c:barChart>
      <c:catAx>
        <c:axId val="40661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934832"/>
        <c:crosses val="autoZero"/>
        <c:auto val="1"/>
        <c:lblAlgn val="ctr"/>
        <c:lblOffset val="100"/>
        <c:noMultiLvlLbl val="0"/>
      </c:catAx>
      <c:valAx>
        <c:axId val="284934832"/>
        <c:scaling>
          <c:orientation val="minMax"/>
          <c:max val="20000"/>
          <c:min val="-4000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U.S.</a:t>
                </a:r>
                <a:r>
                  <a:rPr lang="en-US" baseline="0">
                    <a:solidFill>
                      <a:schemeClr val="tx1"/>
                    </a:solidFill>
                  </a:rPr>
                  <a:t> Dollars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612368"/>
        <c:crosses val="autoZero"/>
        <c:crossBetween val="between"/>
        <c:majorUnit val="5000"/>
      </c:valAx>
      <c:spPr>
        <a:blipFill>
          <a:blip xmlns:r="http://schemas.openxmlformats.org/officeDocument/2006/relationships" r:embed="rId4"/>
          <a:tile tx="0" ty="0" sx="100000" sy="100000" flip="none" algn="tl"/>
        </a:blipFill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5"/>
      <a:tile tx="0" ty="0" sx="100000" sy="100000" flip="none" algn="tl"/>
    </a:blip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</xdr:row>
          <xdr:rowOff>12700</xdr:rowOff>
        </xdr:from>
        <xdr:to>
          <xdr:col>3</xdr:col>
          <xdr:colOff>596900</xdr:colOff>
          <xdr:row>4</xdr:row>
          <xdr:rowOff>0</xdr:rowOff>
        </xdr:to>
        <xdr:sp macro="" textlink="">
          <xdr:nvSpPr>
            <xdr:cNvPr id="1025" name="Scroll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</xdr:row>
          <xdr:rowOff>12700</xdr:rowOff>
        </xdr:from>
        <xdr:to>
          <xdr:col>3</xdr:col>
          <xdr:colOff>596900</xdr:colOff>
          <xdr:row>6</xdr:row>
          <xdr:rowOff>0</xdr:rowOff>
        </xdr:to>
        <xdr:sp macro="" textlink="">
          <xdr:nvSpPr>
            <xdr:cNvPr id="1026" name="ScrollBar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11</xdr:row>
          <xdr:rowOff>12700</xdr:rowOff>
        </xdr:from>
        <xdr:to>
          <xdr:col>3</xdr:col>
          <xdr:colOff>596900</xdr:colOff>
          <xdr:row>12</xdr:row>
          <xdr:rowOff>0</xdr:rowOff>
        </xdr:to>
        <xdr:sp macro="" textlink="">
          <xdr:nvSpPr>
            <xdr:cNvPr id="1030" name="ScrollBar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452437</xdr:colOff>
      <xdr:row>2</xdr:row>
      <xdr:rowOff>138112</xdr:rowOff>
    </xdr:from>
    <xdr:to>
      <xdr:col>16</xdr:col>
      <xdr:colOff>314325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190500</xdr:rowOff>
        </xdr:from>
        <xdr:to>
          <xdr:col>2</xdr:col>
          <xdr:colOff>139700</xdr:colOff>
          <xdr:row>15</xdr:row>
          <xdr:rowOff>50800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13</xdr:row>
          <xdr:rowOff>38100</xdr:rowOff>
        </xdr:from>
        <xdr:to>
          <xdr:col>5</xdr:col>
          <xdr:colOff>469900</xdr:colOff>
          <xdr:row>15</xdr:row>
          <xdr:rowOff>50800</xdr:rowOff>
        </xdr:to>
        <xdr:sp macro="" textlink="">
          <xdr:nvSpPr>
            <xdr:cNvPr id="1032" name="Check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7</xdr:row>
          <xdr:rowOff>0</xdr:rowOff>
        </xdr:from>
        <xdr:to>
          <xdr:col>3</xdr:col>
          <xdr:colOff>596900</xdr:colOff>
          <xdr:row>7</xdr:row>
          <xdr:rowOff>177800</xdr:rowOff>
        </xdr:to>
        <xdr:sp macro="" textlink="">
          <xdr:nvSpPr>
            <xdr:cNvPr id="1028" name="ScrollBar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1257300</xdr:colOff>
          <xdr:row>16</xdr:row>
          <xdr:rowOff>139700</xdr:rowOff>
        </xdr:from>
        <xdr:to>
          <xdr:col>3</xdr:col>
          <xdr:colOff>508000</xdr:colOff>
          <xdr:row>18</xdr:row>
          <xdr:rowOff>190500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0</xdr:row>
      <xdr:rowOff>133350</xdr:rowOff>
    </xdr:from>
    <xdr:to>
      <xdr:col>18</xdr:col>
      <xdr:colOff>381000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76200</xdr:rowOff>
        </xdr:from>
        <xdr:to>
          <xdr:col>13</xdr:col>
          <xdr:colOff>139700</xdr:colOff>
          <xdr:row>26</xdr:row>
          <xdr:rowOff>63500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2959100</xdr:colOff>
          <xdr:row>33</xdr:row>
          <xdr:rowOff>88900</xdr:rowOff>
        </xdr:from>
        <xdr:to>
          <xdr:col>1</xdr:col>
          <xdr:colOff>4432300</xdr:colOff>
          <xdr:row>36</xdr:row>
          <xdr:rowOff>25400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17D80-6ED5-4EC9-AED3-215844BCD96B}">
  <sheetPr codeName="Sheet1"/>
  <dimension ref="B2:G12"/>
  <sheetViews>
    <sheetView tabSelected="1" workbookViewId="0">
      <selection activeCell="G24" sqref="G24"/>
    </sheetView>
  </sheetViews>
  <sheetFormatPr baseColWidth="10" defaultColWidth="8.83203125" defaultRowHeight="15" x14ac:dyDescent="0.2"/>
  <cols>
    <col min="2" max="2" width="20.6640625" customWidth="1"/>
    <col min="3" max="3" width="12.6640625" customWidth="1"/>
    <col min="6" max="6" width="15.6640625" customWidth="1"/>
    <col min="7" max="7" width="11.5" bestFit="1" customWidth="1"/>
  </cols>
  <sheetData>
    <row r="2" spans="2:7" x14ac:dyDescent="0.2">
      <c r="B2" s="9" t="s">
        <v>0</v>
      </c>
    </row>
    <row r="4" spans="2:7" x14ac:dyDescent="0.2">
      <c r="B4" t="s">
        <v>1</v>
      </c>
      <c r="C4">
        <v>500</v>
      </c>
      <c r="F4" t="s">
        <v>6</v>
      </c>
      <c r="G4" s="2">
        <f>C8-C6</f>
        <v>4</v>
      </c>
    </row>
    <row r="6" spans="2:7" x14ac:dyDescent="0.2">
      <c r="B6" t="s">
        <v>2</v>
      </c>
      <c r="C6">
        <v>2</v>
      </c>
      <c r="F6" t="s">
        <v>7</v>
      </c>
      <c r="G6" s="3">
        <f>C4+C6*C12</f>
        <v>2000</v>
      </c>
    </row>
    <row r="7" spans="2:7" x14ac:dyDescent="0.2">
      <c r="G7" s="4"/>
    </row>
    <row r="8" spans="2:7" x14ac:dyDescent="0.2">
      <c r="B8" t="s">
        <v>3</v>
      </c>
      <c r="C8">
        <v>6</v>
      </c>
      <c r="F8" t="s">
        <v>8</v>
      </c>
      <c r="G8" s="3">
        <f>C8*C12</f>
        <v>4500</v>
      </c>
    </row>
    <row r="9" spans="2:7" x14ac:dyDescent="0.2">
      <c r="G9" s="4"/>
    </row>
    <row r="10" spans="2:7" x14ac:dyDescent="0.2">
      <c r="B10" t="s">
        <v>4</v>
      </c>
      <c r="C10" s="1">
        <f>IF(C8&gt;C6,C4/(C8-C6),"No Solution")</f>
        <v>125</v>
      </c>
      <c r="F10" t="s">
        <v>9</v>
      </c>
      <c r="G10" s="5">
        <f>G8-G6</f>
        <v>2500</v>
      </c>
    </row>
    <row r="12" spans="2:7" x14ac:dyDescent="0.2">
      <c r="B12" t="s">
        <v>5</v>
      </c>
      <c r="C12">
        <v>750</v>
      </c>
    </row>
  </sheetData>
  <scenarios current="1" show="1">
    <scenario name="High Cost Scenario" locked="1" count="2" user="avneet kaur" comment="Created by avneet kaur on 10/16/2020_x000a_Modified by avneet kaur on 10/16/2020">
      <inputCells r="C4" val="1500"/>
      <inputCells r="C6" val="8"/>
    </scenario>
    <scenario name="Low Cost Scenario" locked="1" count="2" user="avneet kaur" comment="Created by avneet kaur on 10/16/2020_x000a_Modified by avneet kaur on 10/16/2020">
      <inputCells r="C4" val="500"/>
      <inputCells r="C6" val="2"/>
    </scenario>
  </scenario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73E4-80B8-4F5F-82FB-3FAE73A14F79}">
  <sheetPr codeName="Sheet2"/>
  <dimension ref="A1"/>
  <sheetViews>
    <sheetView topLeftCell="B1" workbookViewId="0">
      <selection activeCell="Q26" sqref="Q26"/>
    </sheetView>
  </sheetViews>
  <sheetFormatPr baseColWidth="10" defaultColWidth="8.83203125" defaultRowHeight="15" x14ac:dyDescent="0.2"/>
  <cols>
    <col min="11" max="11" width="9.1640625" customWidth="1"/>
  </cols>
  <sheetData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4DE43-6397-4690-B65D-76DD0C9C9DC6}">
  <sheetPr codeName="Sheet3"/>
  <dimension ref="A1:B30"/>
  <sheetViews>
    <sheetView topLeftCell="A19" workbookViewId="0">
      <selection activeCell="B37" sqref="B37"/>
    </sheetView>
  </sheetViews>
  <sheetFormatPr baseColWidth="10" defaultColWidth="8.83203125" defaultRowHeight="15" x14ac:dyDescent="0.2"/>
  <cols>
    <col min="2" max="2" width="146.1640625" customWidth="1"/>
  </cols>
  <sheetData>
    <row r="1" spans="1:2" x14ac:dyDescent="0.2">
      <c r="B1" t="s">
        <v>24</v>
      </c>
    </row>
    <row r="2" spans="1:2" x14ac:dyDescent="0.2">
      <c r="A2" s="7" t="s">
        <v>17</v>
      </c>
      <c r="B2" s="6" t="s">
        <v>10</v>
      </c>
    </row>
    <row r="3" spans="1:2" x14ac:dyDescent="0.2">
      <c r="B3" s="8" t="s">
        <v>26</v>
      </c>
    </row>
    <row r="4" spans="1:2" x14ac:dyDescent="0.2">
      <c r="B4" s="8" t="s">
        <v>27</v>
      </c>
    </row>
    <row r="5" spans="1:2" x14ac:dyDescent="0.2">
      <c r="B5" s="8" t="s">
        <v>28</v>
      </c>
    </row>
    <row r="6" spans="1:2" x14ac:dyDescent="0.2">
      <c r="B6" s="8" t="s">
        <v>29</v>
      </c>
    </row>
    <row r="8" spans="1:2" x14ac:dyDescent="0.2">
      <c r="A8" s="7" t="s">
        <v>18</v>
      </c>
      <c r="B8" s="6" t="s">
        <v>11</v>
      </c>
    </row>
    <row r="9" spans="1:2" x14ac:dyDescent="0.2">
      <c r="B9" s="8" t="s">
        <v>30</v>
      </c>
    </row>
    <row r="10" spans="1:2" x14ac:dyDescent="0.2">
      <c r="B10" s="8" t="s">
        <v>31</v>
      </c>
    </row>
    <row r="11" spans="1:2" x14ac:dyDescent="0.2">
      <c r="B11" s="8" t="s">
        <v>32</v>
      </c>
    </row>
    <row r="12" spans="1:2" x14ac:dyDescent="0.2">
      <c r="B12" s="8" t="s">
        <v>33</v>
      </c>
    </row>
    <row r="14" spans="1:2" x14ac:dyDescent="0.2">
      <c r="A14" s="7" t="s">
        <v>19</v>
      </c>
      <c r="B14" s="6" t="s">
        <v>12</v>
      </c>
    </row>
    <row r="15" spans="1:2" x14ac:dyDescent="0.2">
      <c r="B15" s="8" t="s">
        <v>34</v>
      </c>
    </row>
    <row r="16" spans="1:2" x14ac:dyDescent="0.2">
      <c r="B16" s="8" t="s">
        <v>35</v>
      </c>
    </row>
    <row r="17" spans="1:2" x14ac:dyDescent="0.2">
      <c r="B17" s="8" t="s">
        <v>36</v>
      </c>
    </row>
    <row r="18" spans="1:2" x14ac:dyDescent="0.2">
      <c r="B18" s="8" t="s">
        <v>37</v>
      </c>
    </row>
    <row r="20" spans="1:2" x14ac:dyDescent="0.2">
      <c r="A20" s="7" t="s">
        <v>20</v>
      </c>
      <c r="B20" s="6" t="s">
        <v>13</v>
      </c>
    </row>
    <row r="21" spans="1:2" x14ac:dyDescent="0.2">
      <c r="B21" s="8" t="s">
        <v>38</v>
      </c>
    </row>
    <row r="23" spans="1:2" x14ac:dyDescent="0.2">
      <c r="A23" s="7" t="s">
        <v>21</v>
      </c>
      <c r="B23" s="6" t="s">
        <v>14</v>
      </c>
    </row>
    <row r="24" spans="1:2" x14ac:dyDescent="0.2">
      <c r="B24" s="8" t="s">
        <v>39</v>
      </c>
    </row>
    <row r="26" spans="1:2" x14ac:dyDescent="0.2">
      <c r="A26" s="7" t="s">
        <v>22</v>
      </c>
      <c r="B26" s="6" t="s">
        <v>15</v>
      </c>
    </row>
    <row r="27" spans="1:2" x14ac:dyDescent="0.2">
      <c r="B27" s="8" t="s">
        <v>40</v>
      </c>
    </row>
    <row r="29" spans="1:2" x14ac:dyDescent="0.2">
      <c r="A29" s="7" t="s">
        <v>23</v>
      </c>
      <c r="B29" s="6" t="s">
        <v>16</v>
      </c>
    </row>
    <row r="30" spans="1:2" x14ac:dyDescent="0.2">
      <c r="B30" s="8" t="s">
        <v>25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Chart</vt:lpstr>
      <vt:lpstr>Questions&amp;Answers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avneet kaur</dc:creator>
  <cp:lastModifiedBy>satnam Singh</cp:lastModifiedBy>
  <dcterms:created xsi:type="dcterms:W3CDTF">2020-10-12T05:38:46Z</dcterms:created>
  <dcterms:modified xsi:type="dcterms:W3CDTF">2023-06-09T20:30:52Z</dcterms:modified>
</cp:coreProperties>
</file>